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Home\Desktop\Proiect testare It school Github\"/>
    </mc:Choice>
  </mc:AlternateContent>
  <xr:revisionPtr revIDLastSave="0" documentId="13_ncr:1_{25AD46A6-D602-4CEB-A017-28E944CB2B21}" xr6:coauthVersionLast="47" xr6:coauthVersionMax="47" xr10:uidLastSave="{00000000-0000-0000-0000-000000000000}"/>
  <bookViews>
    <workbookView xWindow="-108" yWindow="-108" windowWidth="23256" windowHeight="12456" xr2:uid="{00000000-000D-0000-FFFF-FFFF00000000}"/>
  </bookViews>
  <sheets>
    <sheet name="TestCases" sheetId="1" r:id="rId1"/>
    <sheet name="Results" sheetId="2" r:id="rId2"/>
  </sheets>
  <calcPr calcId="191029"/>
  <extLst>
    <ext uri="GoogleSheetsCustomDataVersion2">
      <go:sheetsCustomData xmlns:go="http://customooxmlschemas.google.com/" r:id="rId6" roundtripDataChecksum="ikEGTekA8jvAWc/rahLvC44qRJdf9ZDb4xvFQFdUv30="/>
    </ext>
  </extLst>
</workbook>
</file>

<file path=xl/calcChain.xml><?xml version="1.0" encoding="utf-8"?>
<calcChain xmlns="http://schemas.openxmlformats.org/spreadsheetml/2006/main">
  <c r="D2" i="2" l="1"/>
  <c r="C2" i="2"/>
  <c r="B2" i="2"/>
  <c r="A2" i="2"/>
  <c r="G2" i="2" l="1"/>
  <c r="F2" i="2"/>
  <c r="I2" i="2"/>
  <c r="E2" i="2"/>
  <c r="H2" i="2"/>
</calcChain>
</file>

<file path=xl/sharedStrings.xml><?xml version="1.0" encoding="utf-8"?>
<sst xmlns="http://schemas.openxmlformats.org/spreadsheetml/2006/main" count="210" uniqueCount="112">
  <si>
    <t>Test Suite/Scenario</t>
  </si>
  <si>
    <t>TestCaseID - Title</t>
  </si>
  <si>
    <t>Priority</t>
  </si>
  <si>
    <t>Test Steps</t>
  </si>
  <si>
    <t>Expected Result</t>
  </si>
  <si>
    <t>Actual Result</t>
  </si>
  <si>
    <t>Pass/Fail/Blocked</t>
  </si>
  <si>
    <t>BUG ID</t>
  </si>
  <si>
    <t>P1</t>
  </si>
  <si>
    <t>Total tests</t>
  </si>
  <si>
    <t>Nb of Pass test</t>
  </si>
  <si>
    <t>Nb of Failed test</t>
  </si>
  <si>
    <t>Nb. Of Blocked tests</t>
  </si>
  <si>
    <t>Total test covered</t>
  </si>
  <si>
    <t>Blocked Tests%</t>
  </si>
  <si>
    <t>Failed test%</t>
  </si>
  <si>
    <t>Pass test %</t>
  </si>
  <si>
    <t>Login</t>
  </si>
  <si>
    <t>Logout</t>
  </si>
  <si>
    <t>Redirectioneaza catre Dashboard</t>
  </si>
  <si>
    <t>Mesaj de eroare: Parola incorecta</t>
  </si>
  <si>
    <t>Mesaj de eroare: Date invalide</t>
  </si>
  <si>
    <t>TC01 - Login date autentificare corecte</t>
  </si>
  <si>
    <t>TC02 - Login- Parola incorecta</t>
  </si>
  <si>
    <t>TC03 - Login- User incorect</t>
  </si>
  <si>
    <t>TC04 - Testare functie Logout</t>
  </si>
  <si>
    <t>Adauga produse in cos</t>
  </si>
  <si>
    <t>User conectat cu date corecte de autentificare</t>
  </si>
  <si>
    <t>Se adauga un produs in cos, iar pictograma cosului este marcata cu cifra 1</t>
  </si>
  <si>
    <t>Checkout</t>
  </si>
  <si>
    <t>User conectat cu date corecte de autentificare si 1 produs in cos</t>
  </si>
  <si>
    <t>Comanda inregistrata</t>
  </si>
  <si>
    <t>User conectat cu date incorecte de autentificare</t>
  </si>
  <si>
    <t>Mesaj eroare "Camp Obligatoriu"</t>
  </si>
  <si>
    <t>Filtrarea produselor</t>
  </si>
  <si>
    <t>TC05 - Adauga un produs in cos</t>
  </si>
  <si>
    <t xml:space="preserve">TC07 - Verificare meniu Checkout </t>
  </si>
  <si>
    <t>TC08 - Verificare meniu Checkout cu revenire catre pagina de produse pentru adaugare produs suplimentar</t>
  </si>
  <si>
    <t>TC09 - Verificare meniu Checkout- Fara a introduce prenumele utilizatorului</t>
  </si>
  <si>
    <t>TC10 - Verificare meniu Checkout- Fara a introduce codul postal</t>
  </si>
  <si>
    <t>P2</t>
  </si>
  <si>
    <t>Afiseaza produse in ordine descrescatoare a pretului</t>
  </si>
  <si>
    <t>1. Acceseaza site www.saucedemo.com
2. Autentificare date corecte
3. Redirectioneaza Dashboard
4. Adauga produs in cos
5. Apasa pe cos de cumparaturi
6. Apasa Buton Checkout
7. Introduce date camp "Nume"
8. Introduce date camp "Cod postal"
9. Apasa buton Continue</t>
  </si>
  <si>
    <t>Stergere produse din cos</t>
  </si>
  <si>
    <t>Produsul este eliminat din cos</t>
  </si>
  <si>
    <t>UI- Imagini corespunzatoare anuntului</t>
  </si>
  <si>
    <t>Imaginile corespund cu titlul anuntului</t>
  </si>
  <si>
    <t>Descrierea este corecta din punct de vedere descriptiv si gramatical</t>
  </si>
  <si>
    <t>Username:visual_user
Password:secret_sauce</t>
  </si>
  <si>
    <t>Username:visual_user
Password:Secret_sauce</t>
  </si>
  <si>
    <t>Username:visual_users
Password:secret_sauce</t>
  </si>
  <si>
    <t>1. Acceseaza site www.saucedemo.com
2. Completare camp "Username"
3. Completare camp "Password"
4. Da click pe buton "Login"</t>
  </si>
  <si>
    <t>1. Acceseaza site www.saucedemo.com
2. Completare camp "Username"
3. Completare camp "Password"
4. Da click pe buton "Login"
5. Redirectioneaza Dashboard
6. Da click pe buton "Logout"</t>
  </si>
  <si>
    <t>1. Acceseaza site www.saucedemo.com
2. Completare camp "Username"
3. Completare camp "Password"
4. Da click pe buton "Login"
5. Redirectioneaza Dashboard
6. Adauga produs in cos</t>
  </si>
  <si>
    <t>1. Acceseaza site www.saucedemo.com
2. Autentificare date corecte
3. Redirectioneaza Dashboard
4. Adauga produs in cos
5. Da click pe cos de cumparaturi
6. Introducere date client
7. Da click pe buton Checkout
8. Da click pe buton Continue
9. Da click pe butonul Finish</t>
  </si>
  <si>
    <t>1. Acceseaza site www.saucedemo.com
2. Autentificare date corecte
3. Redirectioneaza Dashboard
4. Adauga produs in cos
5. Da click pe cos de cumparaturi
6. Da click pe buton Checkout
7. Revenire pentru adaugare produs
7. Da click pe cos de cumparaturi
9. Da click pe buton Checkout
10. Da click pe buton Continue
11. Da click pe butonul Finish</t>
  </si>
  <si>
    <t>1. Acceseaza site www.saucedemo.com
2. Autentificare date corecte
3. Redirectioneaza Dashboard
4. Adauga produs in cos
5. Da click  pe cos de cumparaturi
6. Da click pe buton Checkout
7. Introduce date camp "Nume"
8. Introduce date camp "Prenume"
9. Da click pe buton Continue</t>
  </si>
  <si>
    <t>1. Acceseaza site www.saucedemo.com
2. Autentificare date corecte
3. Redirectioneaza Dashboard
4. Da click pe buton Filtru
5. Selecteaza Optiunea de filtrare</t>
  </si>
  <si>
    <t>1. Acceseaza site www.saucedemo.com
2. Completare camp "Username"
3. Completare camp "Password"
4. Da click pe buton "Login"
5. Redirectioneaza Dashboard
6. Adauga produs in cos"
7. Da click pe Buton cos cumparaturi
8. Stergere produs din cos</t>
  </si>
  <si>
    <t>1. Acceseaza site www.saucedemo.com
2. Completare camp "Username"
3. Completare camp "Password"
4. Da click pe buton "Login"
5. Redirectioneaza Dashboard
6. Adauga produs in cos
7. Da click pe denumire produs
8. Stergere produs din cos din listare</t>
  </si>
  <si>
    <t xml:space="preserve">1. Acceseaza site www.saucedemo.com
2. Completare camp "Username"
3. Completare camp "Password"
4. Da click pe buton "Login"
5. Redirectioneaza Dashboard
</t>
  </si>
  <si>
    <t xml:space="preserve">1. Acceseaza site www.saucedemo.com
2. Completare camp "Username"
3. Completare camp "Password"
4. Da click pe buton "Login"
5. Redirectioneaza Dashboard
6. Acceseaza listare Sauce Labs Onesie
</t>
  </si>
  <si>
    <t>Userul este delogat si redirectionat catre pagina Login</t>
  </si>
  <si>
    <t>Input</t>
  </si>
  <si>
    <t>Preconditie</t>
  </si>
  <si>
    <t>TC06 - Adaugare 6 produse in cos</t>
  </si>
  <si>
    <t>1. Acceseaza site www.saucedemo.com
2. Completare camp "Username"
3. Completare camp "Password"
4. Da click pe buton "Login"
5. Redirectioneaza Dashboard
6. Adauga 6 produs in cos</t>
  </si>
  <si>
    <t>1. Acceseaza site www.saucedemo.com
2. Autentificare date corecte
3. Redirectioneaza Dashboard
4. Adauga produs in cos
5. Da click  pe cos de cumparaturi
6. Da click pe buton Checkout
7. Introduce date camp "Nume"
8. Introduce date camp "Prenume"
9. Introduce date camp "Cod postal"
10. Da click pe buton Continue</t>
  </si>
  <si>
    <t>Mesaj eroare "Caractere nepermise"</t>
  </si>
  <si>
    <t>TC11 - Verificare meniu Checkout - introducere caractere speciale</t>
  </si>
  <si>
    <t>Afiseaza produse in ordine crescatoare a pretului</t>
  </si>
  <si>
    <t>Afiseaza produse in ordine alfabetica de la Z la A</t>
  </si>
  <si>
    <t>Afiseaza produse in ordine alfabetica de la A la Z</t>
  </si>
  <si>
    <t>1. Acceseaza site www.saucedemo.com
2. Autentificare date corecte
3. Redirectioneaza Dashboard
4. Adauga produs in cos
5. Da click  pe cos de cumparaturi
6. Da click pe buton Checkout
7. Da click pe buton Continue
8. Da click pe butonul Finish</t>
  </si>
  <si>
    <t>TC12 - Verificare meniu Checkout - fara caractere</t>
  </si>
  <si>
    <t>TC13 - Testare filtru produse dupa Nume(A al Z)</t>
  </si>
  <si>
    <t>TC14 - Testare filtru produse dupa Nume(Z la A)</t>
  </si>
  <si>
    <t>TC15 - Testare filtru produse dupa Pret descrescator</t>
  </si>
  <si>
    <t>TC16 - Testare filtru produse dupa Pret crescator</t>
  </si>
  <si>
    <t>TC17 - Stergere produs din cos</t>
  </si>
  <si>
    <t>TC18 - Stergere produs din listarea produsului</t>
  </si>
  <si>
    <t>TC19 - Verificare corespondenta imagine - titlu</t>
  </si>
  <si>
    <t>TC20 - Verificare corectitudinea descriere listare</t>
  </si>
  <si>
    <t>User conectat cu date corecte de autentificare si 6 produse in cos</t>
  </si>
  <si>
    <t>User conectat cu date corecte de autentificare si minim 1 produs in cos</t>
  </si>
  <si>
    <t>Username:visual_user
Password:secret_sauce
Nume: Ilie
Prenume: Madalina
Cod postal: 117141</t>
  </si>
  <si>
    <t>Username:visual_user
Password:secret_sauce
Nume: Ilie
Prenume: gol
Cod postal: 117141</t>
  </si>
  <si>
    <t>Username:visual_user
Password:secret_sauce
Nume: Ilie
Prenume: Madalina
Cod postal: gol</t>
  </si>
  <si>
    <t>Username:visual_user
Password:secret_sauce
Nume: I&amp;@e
Prenume: M@d@L|N#
Cod postal: %$^&amp;**</t>
  </si>
  <si>
    <t>Username:visual_user
Password:secret_sauce
Nume: gol
Prenume: gol
Cod postal: gol</t>
  </si>
  <si>
    <t>Pass</t>
  </si>
  <si>
    <t>Mesaj eroare: Username and Password do not match any user in this service</t>
  </si>
  <si>
    <t>Se adauga produsele in cos, iar pictograma cosului este marcata cu cifra 6</t>
  </si>
  <si>
    <t>Mesaj eroare: First name is required</t>
  </si>
  <si>
    <t>Mesaj de eroare: Postal code is required</t>
  </si>
  <si>
    <t>Fail</t>
  </si>
  <si>
    <t>Permite introducerea de caractere speciale in toate campurile</t>
  </si>
  <si>
    <t>Mesaje eroare "First name is required"// "Last name is required".// "Postal code is required"</t>
  </si>
  <si>
    <t>Id Bug 007</t>
  </si>
  <si>
    <t>ID Bug 008</t>
  </si>
  <si>
    <t>ID Bug 009</t>
  </si>
  <si>
    <t>Sauce Labs Backpack - imaginea produsului afiseaza o imagine irelevanta</t>
  </si>
  <si>
    <t>ID Bug 010</t>
  </si>
  <si>
    <t>TC21 - Checkout fara produse in cos</t>
  </si>
  <si>
    <t>Descriere incorecta din punct de vedere descriptiv</t>
  </si>
  <si>
    <t>ID Bug 011</t>
  </si>
  <si>
    <t xml:space="preserve">1. Acceseaza site www.saucedemo.com
2. Completare camp "Username"
3. Completare camp "Password"
4. Da click pe buton "Login"
5. Redirectioneaza Dashboard
6. Da click pe Cosul de cumparaturi
7. Click butonul de Checkout
8. Se completeaza datele: nume, prenume, cod postal
9. Click pe butonul Continue
10. Click pe butonul Finish
</t>
  </si>
  <si>
    <t>Butonul Checkout inactiv fara un produs in cos</t>
  </si>
  <si>
    <t>ID Bug 012</t>
  </si>
  <si>
    <t>TC22 - Checkout - corectitudine suma totala</t>
  </si>
  <si>
    <t xml:space="preserve">1. Acceseaza site www.saucedemo.com
2. Autentificare date corecte
3. Redirectioneaza Dashboard
4. Adauga 6 produse in cos
5. Da click pe cos de cumparaturi
6. Introducere date client
7. Da click pe buton Checkout
8. Da click pe buton Continue
</t>
  </si>
  <si>
    <t xml:space="preserve">Total de plata pentru toate cele 6 produse 129,94$ + tax 10.40$ = 140.34$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</si>
</sst>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0"/>
      <color theme="1"/>
      <name val="Verdana"/>
    </font>
    <font>
      <sz val="10"/>
      <color theme="1"/>
      <name val="Verdana"/>
    </font>
    <font>
      <sz val="10"/>
      <color theme="1"/>
      <name val="Arial"/>
      <scheme val="minor"/>
    </font>
    <font>
      <sz val="14"/>
      <color theme="1"/>
      <name val="Verdana"/>
    </font>
    <font>
      <sz val="10"/>
      <color theme="1"/>
      <name val="Arial"/>
    </font>
    <font>
      <sz val="10"/>
      <name val="Arial"/>
    </font>
    <font>
      <sz val="14"/>
      <color theme="1"/>
      <name val="Arial"/>
    </font>
    <font>
      <b/>
      <sz val="14"/>
      <color theme="1"/>
      <name val="Arial"/>
    </font>
    <font>
      <b/>
      <sz val="14"/>
      <color rgb="FF1155CC"/>
      <name val="Inconsolata"/>
    </font>
    <font>
      <sz val="10"/>
      <color theme="1"/>
      <name val="Arial"/>
      <family val="2"/>
      <charset val="238"/>
    </font>
    <font>
      <sz val="11"/>
      <color rgb="FF000000"/>
      <name val="Calibri"/>
      <family val="2"/>
      <charset val="238"/>
    </font>
    <font>
      <sz val="8"/>
      <name val="Arial"/>
      <family val="2"/>
      <charset val="238"/>
      <scheme val="minor"/>
    </font>
    <font>
      <sz val="10"/>
      <color theme="1"/>
      <name val="Verdana"/>
      <family val="2"/>
      <charset val="238"/>
    </font>
    <font>
      <sz val="14"/>
      <color theme="1"/>
      <name val="Verdana"/>
      <family val="2"/>
      <charset val="238"/>
    </font>
    <font>
      <sz val="10"/>
      <color theme="1"/>
      <name val="Arial"/>
      <family val="2"/>
      <charset val="238"/>
      <scheme val="minor"/>
    </font>
    <font>
      <sz val="14"/>
      <color rgb="FFFF0000"/>
      <name val="Verdana"/>
      <family val="2"/>
      <charset val="238"/>
    </font>
    <font>
      <sz val="10"/>
      <color rgb="FFFF0000"/>
      <name val="Arial"/>
      <family val="2"/>
      <charset val="238"/>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4" fillId="0" borderId="1" xfId="0" applyFont="1" applyBorder="1" applyAlignment="1">
      <alignment horizontal="center" vertical="center" wrapText="1"/>
    </xf>
    <xf numFmtId="0" fontId="2" fillId="0" borderId="1" xfId="0" applyFont="1" applyBorder="1" applyAlignment="1">
      <alignment horizontal="left" wrapText="1"/>
    </xf>
    <xf numFmtId="0" fontId="5" fillId="0" borderId="1" xfId="0" applyFont="1" applyBorder="1" applyAlignment="1">
      <alignment horizontal="left" wrapText="1"/>
    </xf>
    <xf numFmtId="0" fontId="4" fillId="0" borderId="1" xfId="0" applyFont="1" applyBorder="1" applyAlignment="1">
      <alignment horizontal="center" wrapText="1"/>
    </xf>
    <xf numFmtId="0" fontId="5" fillId="0" borderId="1" xfId="0" applyFont="1" applyBorder="1" applyAlignment="1">
      <alignment vertical="center" wrapText="1"/>
    </xf>
    <xf numFmtId="0" fontId="5" fillId="0" borderId="1" xfId="0" applyFont="1" applyBorder="1" applyAlignment="1">
      <alignment wrapText="1"/>
    </xf>
    <xf numFmtId="0" fontId="5" fillId="0" borderId="1" xfId="0" applyFont="1" applyBorder="1"/>
    <xf numFmtId="0" fontId="5" fillId="0" borderId="1" xfId="0" applyFont="1" applyBorder="1" applyAlignment="1">
      <alignment horizontal="center"/>
    </xf>
    <xf numFmtId="0" fontId="5" fillId="0" borderId="0" xfId="0" applyFont="1" applyAlignment="1">
      <alignment wrapText="1"/>
    </xf>
    <xf numFmtId="0" fontId="5" fillId="0" borderId="0" xfId="0" applyFont="1" applyAlignment="1">
      <alignment horizontal="center"/>
    </xf>
    <xf numFmtId="0" fontId="7" fillId="4" borderId="1" xfId="0" applyFont="1" applyFill="1" applyBorder="1" applyAlignment="1">
      <alignment horizontal="center"/>
    </xf>
    <xf numFmtId="0" fontId="8" fillId="0" borderId="1" xfId="0" applyFont="1" applyBorder="1" applyAlignment="1">
      <alignment horizontal="center"/>
    </xf>
    <xf numFmtId="2" fontId="9" fillId="3" borderId="1" xfId="0" applyNumberFormat="1" applyFont="1" applyFill="1" applyBorder="1" applyAlignment="1">
      <alignment horizontal="center"/>
    </xf>
    <xf numFmtId="2" fontId="8" fillId="0" borderId="1" xfId="0" applyNumberFormat="1" applyFont="1" applyBorder="1" applyAlignment="1">
      <alignment horizontal="center"/>
    </xf>
    <xf numFmtId="0" fontId="10" fillId="0" borderId="1" xfId="0" applyFont="1" applyBorder="1" applyAlignment="1">
      <alignment vertical="center" wrapText="1"/>
    </xf>
    <xf numFmtId="0" fontId="10" fillId="0" borderId="1" xfId="0" applyFont="1" applyBorder="1" applyAlignment="1">
      <alignment wrapText="1"/>
    </xf>
    <xf numFmtId="0" fontId="2" fillId="0" borderId="1" xfId="0" applyFont="1" applyBorder="1" applyAlignment="1">
      <alignment horizontal="center" vertical="center" wrapText="1"/>
    </xf>
    <xf numFmtId="0" fontId="3" fillId="0" borderId="1" xfId="0" applyFont="1" applyBorder="1"/>
    <xf numFmtId="0" fontId="2" fillId="0" borderId="6" xfId="0" applyFont="1" applyBorder="1" applyAlignment="1">
      <alignment horizontal="center" vertical="center" wrapText="1"/>
    </xf>
    <xf numFmtId="0" fontId="13" fillId="0" borderId="1" xfId="0" applyFont="1" applyBorder="1" applyAlignment="1">
      <alignment horizontal="left"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xf numFmtId="0" fontId="2" fillId="0" borderId="6" xfId="0" applyFont="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5" xfId="0" applyFont="1" applyBorder="1" applyAlignment="1">
      <alignment horizontal="center" vertical="center"/>
    </xf>
    <xf numFmtId="0" fontId="13" fillId="0" borderId="1" xfId="0" applyFont="1" applyBorder="1" applyAlignment="1">
      <alignment horizontal="center" vertical="center" wrapText="1"/>
    </xf>
    <xf numFmtId="0" fontId="10" fillId="0" borderId="1" xfId="0" applyFont="1" applyBorder="1" applyAlignment="1">
      <alignment horizontal="left" wrapText="1"/>
    </xf>
    <xf numFmtId="0" fontId="10" fillId="0" borderId="1" xfId="0" applyFont="1" applyBorder="1"/>
    <xf numFmtId="0" fontId="14" fillId="0" borderId="1" xfId="0" applyFont="1" applyBorder="1" applyAlignment="1">
      <alignment horizontal="center" wrapText="1"/>
    </xf>
    <xf numFmtId="0" fontId="10" fillId="0" borderId="1" xfId="0" applyFont="1" applyBorder="1" applyAlignment="1">
      <alignment horizontal="center" vertical="center"/>
    </xf>
    <xf numFmtId="0" fontId="16" fillId="0" borderId="3"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 xfId="0" applyFont="1" applyBorder="1" applyAlignment="1">
      <alignment horizontal="center"/>
    </xf>
    <xf numFmtId="0" fontId="14" fillId="0" borderId="1" xfId="0" applyFont="1" applyBorder="1" applyAlignment="1">
      <alignment horizontal="center" vertical="center"/>
    </xf>
    <xf numFmtId="0" fontId="17" fillId="0" borderId="1" xfId="0" applyFont="1" applyBorder="1" applyAlignment="1">
      <alignment horizontal="center"/>
    </xf>
  </cellXfs>
  <cellStyles count="1">
    <cellStyle name="Normal" xfId="0" builtinId="0"/>
  </cellStyles>
  <dxfs count="7">
    <dxf>
      <fill>
        <patternFill patternType="solid">
          <fgColor rgb="FF38761D"/>
          <bgColor rgb="FF38761D"/>
        </patternFill>
      </fill>
    </dxf>
    <dxf>
      <fill>
        <patternFill patternType="solid">
          <fgColor rgb="FFF1C232"/>
          <bgColor rgb="FFF1C232"/>
        </patternFill>
      </fill>
    </dxf>
    <dxf>
      <fill>
        <patternFill patternType="solid">
          <fgColor rgb="FFEA9999"/>
          <bgColor rgb="FFEA9999"/>
        </patternFill>
      </fill>
    </dxf>
    <dxf>
      <fill>
        <patternFill patternType="solid">
          <fgColor rgb="FFCC0000"/>
          <bgColor rgb="FFCC0000"/>
        </patternFill>
      </fill>
    </dxf>
    <dxf>
      <fill>
        <patternFill patternType="solid">
          <fgColor rgb="FFEA9999"/>
          <bgColor rgb="FFEA9999"/>
        </patternFill>
      </fill>
    </dxf>
    <dxf>
      <fill>
        <patternFill patternType="solid">
          <fgColor rgb="FFCC0000"/>
          <bgColor rgb="FFCC0000"/>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4"/>
  <sheetViews>
    <sheetView tabSelected="1" topLeftCell="A19" zoomScale="70" zoomScaleNormal="70" workbookViewId="0">
      <selection activeCell="I25" sqref="I25"/>
    </sheetView>
  </sheetViews>
  <sheetFormatPr defaultColWidth="12.6640625" defaultRowHeight="15" customHeight="1" x14ac:dyDescent="0.25"/>
  <cols>
    <col min="1" max="1" width="17.6640625" customWidth="1"/>
    <col min="2" max="2" width="39.109375" customWidth="1"/>
    <col min="3" max="3" width="11.88671875" customWidth="1"/>
    <col min="4" max="4" width="21.44140625" customWidth="1"/>
    <col min="5" max="5" width="47.77734375" customWidth="1"/>
    <col min="6" max="6" width="20.77734375" customWidth="1"/>
    <col min="7" max="7" width="20.21875" customWidth="1"/>
    <col min="8" max="8" width="19.109375" customWidth="1"/>
    <col min="9" max="9" width="27" customWidth="1"/>
    <col min="10" max="10" width="21.6640625" customWidth="1"/>
  </cols>
  <sheetData>
    <row r="1" spans="1:10" ht="69.75" customHeight="1" x14ac:dyDescent="0.25">
      <c r="A1" s="1" t="s">
        <v>0</v>
      </c>
      <c r="B1" s="1" t="s">
        <v>1</v>
      </c>
      <c r="C1" s="2" t="s">
        <v>2</v>
      </c>
      <c r="D1" s="2" t="s">
        <v>63</v>
      </c>
      <c r="E1" s="1" t="s">
        <v>3</v>
      </c>
      <c r="F1" s="1" t="s">
        <v>64</v>
      </c>
      <c r="G1" s="1" t="s">
        <v>4</v>
      </c>
      <c r="H1" s="1" t="s">
        <v>5</v>
      </c>
      <c r="I1" s="1" t="s">
        <v>6</v>
      </c>
      <c r="J1" s="1" t="s">
        <v>7</v>
      </c>
    </row>
    <row r="2" spans="1:10" ht="75" customHeight="1" x14ac:dyDescent="0.3">
      <c r="A2" s="31" t="s">
        <v>17</v>
      </c>
      <c r="B2" s="20" t="s">
        <v>22</v>
      </c>
      <c r="C2" s="3" t="s">
        <v>8</v>
      </c>
      <c r="D2" s="28" t="s">
        <v>48</v>
      </c>
      <c r="E2" s="22" t="s">
        <v>51</v>
      </c>
      <c r="F2" s="5" t="s">
        <v>27</v>
      </c>
      <c r="G2" s="19" t="s">
        <v>19</v>
      </c>
      <c r="H2" s="19" t="s">
        <v>19</v>
      </c>
      <c r="I2" s="6" t="s">
        <v>90</v>
      </c>
      <c r="J2" s="6"/>
    </row>
    <row r="3" spans="1:10" ht="81" customHeight="1" x14ac:dyDescent="0.3">
      <c r="A3" s="32"/>
      <c r="B3" s="7" t="s">
        <v>23</v>
      </c>
      <c r="C3" s="3" t="s">
        <v>8</v>
      </c>
      <c r="D3" s="28" t="s">
        <v>49</v>
      </c>
      <c r="E3" s="4" t="s">
        <v>51</v>
      </c>
      <c r="F3" s="5" t="s">
        <v>32</v>
      </c>
      <c r="G3" s="19" t="s">
        <v>20</v>
      </c>
      <c r="H3" s="22" t="s">
        <v>91</v>
      </c>
      <c r="I3" s="6" t="s">
        <v>90</v>
      </c>
      <c r="J3" s="6"/>
    </row>
    <row r="4" spans="1:10" ht="96.75" customHeight="1" x14ac:dyDescent="0.3">
      <c r="A4" s="32"/>
      <c r="B4" s="7" t="s">
        <v>24</v>
      </c>
      <c r="C4" s="3" t="s">
        <v>8</v>
      </c>
      <c r="D4" s="28" t="s">
        <v>50</v>
      </c>
      <c r="E4" s="4" t="s">
        <v>51</v>
      </c>
      <c r="F4" s="5" t="s">
        <v>32</v>
      </c>
      <c r="G4" s="19" t="s">
        <v>21</v>
      </c>
      <c r="H4" s="22" t="s">
        <v>91</v>
      </c>
      <c r="I4" s="6" t="s">
        <v>90</v>
      </c>
      <c r="J4" s="6"/>
    </row>
    <row r="5" spans="1:10" ht="81" customHeight="1" x14ac:dyDescent="0.3">
      <c r="A5" s="21" t="s">
        <v>18</v>
      </c>
      <c r="B5" s="7" t="s">
        <v>25</v>
      </c>
      <c r="C5" s="3" t="s">
        <v>8</v>
      </c>
      <c r="D5" s="28" t="s">
        <v>48</v>
      </c>
      <c r="E5" s="4" t="s">
        <v>52</v>
      </c>
      <c r="F5" s="5" t="s">
        <v>27</v>
      </c>
      <c r="G5" s="19" t="s">
        <v>62</v>
      </c>
      <c r="H5" s="19" t="s">
        <v>62</v>
      </c>
      <c r="I5" s="6" t="s">
        <v>90</v>
      </c>
      <c r="J5" s="6"/>
    </row>
    <row r="6" spans="1:10" ht="83.25" customHeight="1" x14ac:dyDescent="0.3">
      <c r="A6" s="33" t="s">
        <v>26</v>
      </c>
      <c r="B6" s="17" t="s">
        <v>35</v>
      </c>
      <c r="C6" s="3" t="s">
        <v>8</v>
      </c>
      <c r="D6" s="28" t="s">
        <v>48</v>
      </c>
      <c r="E6" s="4" t="s">
        <v>53</v>
      </c>
      <c r="F6" s="5" t="s">
        <v>30</v>
      </c>
      <c r="G6" s="19" t="s">
        <v>28</v>
      </c>
      <c r="H6" s="19" t="s">
        <v>28</v>
      </c>
      <c r="I6" s="6" t="s">
        <v>90</v>
      </c>
      <c r="J6" s="6"/>
    </row>
    <row r="7" spans="1:10" ht="83.25" customHeight="1" x14ac:dyDescent="0.3">
      <c r="A7" s="33"/>
      <c r="B7" s="17" t="s">
        <v>65</v>
      </c>
      <c r="C7" s="3" t="s">
        <v>8</v>
      </c>
      <c r="D7" s="28" t="s">
        <v>48</v>
      </c>
      <c r="E7" s="4" t="s">
        <v>66</v>
      </c>
      <c r="F7" s="5" t="s">
        <v>83</v>
      </c>
      <c r="G7" s="37" t="s">
        <v>92</v>
      </c>
      <c r="H7" s="37" t="s">
        <v>92</v>
      </c>
      <c r="I7" s="6" t="s">
        <v>90</v>
      </c>
      <c r="J7" s="6"/>
    </row>
    <row r="8" spans="1:10" ht="118.8" customHeight="1" x14ac:dyDescent="0.3">
      <c r="A8" s="33" t="s">
        <v>29</v>
      </c>
      <c r="B8" s="17" t="s">
        <v>36</v>
      </c>
      <c r="C8" s="3" t="s">
        <v>8</v>
      </c>
      <c r="D8" s="28" t="s">
        <v>85</v>
      </c>
      <c r="E8" s="22" t="s">
        <v>54</v>
      </c>
      <c r="F8" s="5" t="s">
        <v>84</v>
      </c>
      <c r="G8" s="23" t="s">
        <v>31</v>
      </c>
      <c r="H8" s="23" t="s">
        <v>31</v>
      </c>
      <c r="I8" s="6" t="s">
        <v>90</v>
      </c>
      <c r="J8" s="42" t="s">
        <v>98</v>
      </c>
    </row>
    <row r="9" spans="1:10" ht="148.80000000000001" customHeight="1" x14ac:dyDescent="0.3">
      <c r="A9" s="33"/>
      <c r="B9" s="17" t="s">
        <v>37</v>
      </c>
      <c r="C9" s="3" t="s">
        <v>8</v>
      </c>
      <c r="D9" s="28" t="s">
        <v>85</v>
      </c>
      <c r="E9" s="18" t="s">
        <v>55</v>
      </c>
      <c r="F9" s="38" t="s">
        <v>83</v>
      </c>
      <c r="G9" s="23" t="s">
        <v>31</v>
      </c>
      <c r="H9" s="23" t="s">
        <v>31</v>
      </c>
      <c r="I9" s="6" t="s">
        <v>90</v>
      </c>
      <c r="J9" s="43"/>
    </row>
    <row r="10" spans="1:10" ht="131.4" customHeight="1" x14ac:dyDescent="0.3">
      <c r="A10" s="33"/>
      <c r="B10" s="17" t="s">
        <v>38</v>
      </c>
      <c r="C10" s="3" t="s">
        <v>8</v>
      </c>
      <c r="D10" s="28" t="s">
        <v>86</v>
      </c>
      <c r="E10" s="18" t="s">
        <v>42</v>
      </c>
      <c r="F10" s="5" t="s">
        <v>84</v>
      </c>
      <c r="G10" s="24" t="s">
        <v>33</v>
      </c>
      <c r="H10" s="17" t="s">
        <v>93</v>
      </c>
      <c r="I10" s="40" t="s">
        <v>90</v>
      </c>
      <c r="J10" s="43"/>
    </row>
    <row r="11" spans="1:10" ht="131.4" customHeight="1" x14ac:dyDescent="0.3">
      <c r="A11" s="33"/>
      <c r="B11" s="17" t="s">
        <v>39</v>
      </c>
      <c r="C11" s="3" t="s">
        <v>8</v>
      </c>
      <c r="D11" s="28" t="s">
        <v>87</v>
      </c>
      <c r="E11" s="18" t="s">
        <v>56</v>
      </c>
      <c r="F11" s="5" t="s">
        <v>84</v>
      </c>
      <c r="G11" s="24" t="s">
        <v>33</v>
      </c>
      <c r="H11" s="25" t="s">
        <v>94</v>
      </c>
      <c r="I11" s="40" t="s">
        <v>90</v>
      </c>
      <c r="J11" s="44"/>
    </row>
    <row r="12" spans="1:10" ht="131.4" customHeight="1" x14ac:dyDescent="0.3">
      <c r="A12" s="33"/>
      <c r="B12" s="17" t="s">
        <v>69</v>
      </c>
      <c r="C12" s="3" t="s">
        <v>8</v>
      </c>
      <c r="D12" s="28" t="s">
        <v>88</v>
      </c>
      <c r="E12" s="18" t="s">
        <v>67</v>
      </c>
      <c r="F12" s="5" t="s">
        <v>84</v>
      </c>
      <c r="G12" s="24" t="s">
        <v>68</v>
      </c>
      <c r="H12" s="25" t="s">
        <v>96</v>
      </c>
      <c r="I12" s="40" t="s">
        <v>95</v>
      </c>
      <c r="J12" s="45" t="s">
        <v>99</v>
      </c>
    </row>
    <row r="13" spans="1:10" ht="138.6" customHeight="1" x14ac:dyDescent="0.3">
      <c r="A13" s="33"/>
      <c r="B13" s="17" t="s">
        <v>74</v>
      </c>
      <c r="C13" s="3" t="s">
        <v>8</v>
      </c>
      <c r="D13" s="28" t="s">
        <v>89</v>
      </c>
      <c r="E13" s="18" t="s">
        <v>73</v>
      </c>
      <c r="F13" s="5" t="s">
        <v>84</v>
      </c>
      <c r="G13" s="25" t="s">
        <v>97</v>
      </c>
      <c r="H13" s="25" t="s">
        <v>97</v>
      </c>
      <c r="I13" s="40" t="s">
        <v>90</v>
      </c>
      <c r="J13" s="10"/>
    </row>
    <row r="14" spans="1:10" ht="69" customHeight="1" x14ac:dyDescent="0.3">
      <c r="A14" s="34" t="s">
        <v>34</v>
      </c>
      <c r="B14" s="17" t="s">
        <v>75</v>
      </c>
      <c r="C14" s="3" t="s">
        <v>40</v>
      </c>
      <c r="D14" s="28" t="s">
        <v>48</v>
      </c>
      <c r="E14" s="18" t="s">
        <v>57</v>
      </c>
      <c r="F14" s="5" t="s">
        <v>27</v>
      </c>
      <c r="G14" s="25" t="s">
        <v>72</v>
      </c>
      <c r="H14" s="25" t="s">
        <v>72</v>
      </c>
      <c r="I14" s="40" t="s">
        <v>90</v>
      </c>
      <c r="J14" s="42" t="s">
        <v>100</v>
      </c>
    </row>
    <row r="15" spans="1:10" ht="69" customHeight="1" x14ac:dyDescent="0.3">
      <c r="A15" s="35"/>
      <c r="B15" s="17" t="s">
        <v>76</v>
      </c>
      <c r="C15" s="3" t="s">
        <v>40</v>
      </c>
      <c r="D15" s="28" t="s">
        <v>48</v>
      </c>
      <c r="E15" s="18" t="s">
        <v>57</v>
      </c>
      <c r="F15" s="5" t="s">
        <v>27</v>
      </c>
      <c r="G15" s="25" t="s">
        <v>71</v>
      </c>
      <c r="H15" s="25" t="s">
        <v>71</v>
      </c>
      <c r="I15" s="40" t="s">
        <v>90</v>
      </c>
      <c r="J15" s="43"/>
    </row>
    <row r="16" spans="1:10" ht="69" customHeight="1" x14ac:dyDescent="0.3">
      <c r="A16" s="35"/>
      <c r="B16" s="17" t="s">
        <v>77</v>
      </c>
      <c r="C16" s="3" t="s">
        <v>40</v>
      </c>
      <c r="D16" s="28" t="s">
        <v>48</v>
      </c>
      <c r="E16" s="18" t="s">
        <v>57</v>
      </c>
      <c r="F16" s="5" t="s">
        <v>27</v>
      </c>
      <c r="G16" s="25" t="s">
        <v>41</v>
      </c>
      <c r="H16" s="25" t="s">
        <v>41</v>
      </c>
      <c r="I16" s="40" t="s">
        <v>90</v>
      </c>
      <c r="J16" s="43"/>
    </row>
    <row r="17" spans="1:10" ht="69.75" customHeight="1" x14ac:dyDescent="0.3">
      <c r="A17" s="36"/>
      <c r="B17" s="17" t="s">
        <v>78</v>
      </c>
      <c r="C17" s="3" t="s">
        <v>40</v>
      </c>
      <c r="D17" s="28" t="s">
        <v>48</v>
      </c>
      <c r="E17" s="18" t="s">
        <v>57</v>
      </c>
      <c r="F17" s="5" t="s">
        <v>27</v>
      </c>
      <c r="G17" s="25" t="s">
        <v>70</v>
      </c>
      <c r="H17" s="25" t="s">
        <v>70</v>
      </c>
      <c r="I17" s="40" t="s">
        <v>90</v>
      </c>
      <c r="J17" s="44"/>
    </row>
    <row r="18" spans="1:10" ht="106.8" customHeight="1" x14ac:dyDescent="0.3">
      <c r="A18" s="29" t="s">
        <v>43</v>
      </c>
      <c r="B18" s="26" t="s">
        <v>79</v>
      </c>
      <c r="C18" s="3" t="s">
        <v>8</v>
      </c>
      <c r="D18" s="28" t="s">
        <v>48</v>
      </c>
      <c r="E18" s="22" t="s">
        <v>58</v>
      </c>
      <c r="F18" s="5" t="s">
        <v>84</v>
      </c>
      <c r="G18" s="25" t="s">
        <v>44</v>
      </c>
      <c r="H18" s="25" t="s">
        <v>44</v>
      </c>
      <c r="I18" s="40" t="s">
        <v>90</v>
      </c>
      <c r="J18" s="10"/>
    </row>
    <row r="19" spans="1:10" ht="105.6" customHeight="1" x14ac:dyDescent="0.3">
      <c r="A19" s="30"/>
      <c r="B19" s="26" t="s">
        <v>80</v>
      </c>
      <c r="C19" s="3" t="s">
        <v>8</v>
      </c>
      <c r="D19" s="28" t="s">
        <v>48</v>
      </c>
      <c r="E19" s="22" t="s">
        <v>59</v>
      </c>
      <c r="F19" s="5" t="s">
        <v>84</v>
      </c>
      <c r="G19" s="25" t="s">
        <v>44</v>
      </c>
      <c r="H19" s="25" t="s">
        <v>44</v>
      </c>
      <c r="I19" s="40" t="s">
        <v>90</v>
      </c>
      <c r="J19" s="10"/>
    </row>
    <row r="20" spans="1:10" ht="87" customHeight="1" x14ac:dyDescent="0.3">
      <c r="A20" s="29" t="s">
        <v>45</v>
      </c>
      <c r="B20" s="26" t="s">
        <v>81</v>
      </c>
      <c r="C20" s="27" t="s">
        <v>8</v>
      </c>
      <c r="D20" s="28" t="s">
        <v>48</v>
      </c>
      <c r="E20" s="22" t="s">
        <v>60</v>
      </c>
      <c r="F20" s="5" t="s">
        <v>27</v>
      </c>
      <c r="G20" s="25" t="s">
        <v>46</v>
      </c>
      <c r="H20" s="25" t="s">
        <v>101</v>
      </c>
      <c r="I20" s="40" t="s">
        <v>95</v>
      </c>
      <c r="J20" s="47" t="s">
        <v>102</v>
      </c>
    </row>
    <row r="21" spans="1:10" ht="120" customHeight="1" x14ac:dyDescent="0.3">
      <c r="A21" s="30"/>
      <c r="B21" s="26" t="s">
        <v>82</v>
      </c>
      <c r="C21" s="27" t="s">
        <v>40</v>
      </c>
      <c r="D21" s="28" t="s">
        <v>48</v>
      </c>
      <c r="E21" s="22" t="s">
        <v>61</v>
      </c>
      <c r="F21" s="5" t="s">
        <v>27</v>
      </c>
      <c r="G21" s="25" t="s">
        <v>47</v>
      </c>
      <c r="H21" s="25" t="s">
        <v>104</v>
      </c>
      <c r="I21" s="40" t="s">
        <v>95</v>
      </c>
      <c r="J21" s="47" t="s">
        <v>105</v>
      </c>
    </row>
    <row r="22" spans="1:10" ht="128.4" customHeight="1" x14ac:dyDescent="0.3">
      <c r="A22" s="41" t="s">
        <v>29</v>
      </c>
      <c r="B22" s="18" t="s">
        <v>103</v>
      </c>
      <c r="C22" s="46" t="s">
        <v>40</v>
      </c>
      <c r="D22" s="28" t="s">
        <v>85</v>
      </c>
      <c r="E22" s="22" t="s">
        <v>106</v>
      </c>
      <c r="F22" s="5" t="s">
        <v>27</v>
      </c>
      <c r="G22" s="25" t="s">
        <v>107</v>
      </c>
      <c r="H22" s="39" t="s">
        <v>31</v>
      </c>
      <c r="I22" s="40" t="s">
        <v>95</v>
      </c>
      <c r="J22" s="47" t="s">
        <v>108</v>
      </c>
    </row>
    <row r="23" spans="1:10" ht="124.8" customHeight="1" x14ac:dyDescent="0.3">
      <c r="A23" s="41" t="s">
        <v>29</v>
      </c>
      <c r="B23" s="8" t="s">
        <v>109</v>
      </c>
      <c r="C23" s="27" t="s">
        <v>8</v>
      </c>
      <c r="D23" s="28" t="s">
        <v>85</v>
      </c>
      <c r="E23" s="22" t="s">
        <v>110</v>
      </c>
      <c r="F23" s="5" t="s">
        <v>83</v>
      </c>
      <c r="G23" s="24" t="s">
        <v>111</v>
      </c>
      <c r="H23" s="24" t="s">
        <v>111</v>
      </c>
      <c r="I23" s="40" t="s">
        <v>90</v>
      </c>
      <c r="J23" s="10"/>
    </row>
    <row r="24" spans="1:10" ht="66.75" customHeight="1" x14ac:dyDescent="0.25">
      <c r="A24" s="9"/>
      <c r="B24" s="8"/>
      <c r="C24" s="9"/>
      <c r="D24" s="9"/>
      <c r="E24" s="8"/>
      <c r="F24" s="9"/>
      <c r="G24" s="9"/>
      <c r="H24" s="9"/>
      <c r="I24" s="9"/>
      <c r="J24" s="10"/>
    </row>
    <row r="25" spans="1:10" ht="65.25" customHeight="1" x14ac:dyDescent="0.25">
      <c r="A25" s="9"/>
      <c r="B25" s="8"/>
      <c r="C25" s="9"/>
      <c r="D25" s="9"/>
      <c r="E25" s="8"/>
      <c r="F25" s="9"/>
      <c r="G25" s="9"/>
      <c r="H25" s="9"/>
      <c r="I25" s="9"/>
      <c r="J25" s="10"/>
    </row>
    <row r="26" spans="1:10" ht="61.5" customHeight="1" x14ac:dyDescent="0.25">
      <c r="A26" s="9"/>
      <c r="B26" s="8"/>
      <c r="C26" s="9"/>
      <c r="D26" s="9"/>
      <c r="E26" s="8"/>
      <c r="F26" s="9"/>
      <c r="G26" s="9"/>
      <c r="H26" s="9"/>
      <c r="I26" s="9"/>
      <c r="J26" s="10"/>
    </row>
    <row r="27" spans="1:10" ht="66.75" customHeight="1" x14ac:dyDescent="0.25">
      <c r="A27" s="9"/>
      <c r="B27" s="8"/>
      <c r="C27" s="9"/>
      <c r="D27" s="9"/>
      <c r="E27" s="8"/>
      <c r="F27" s="9"/>
      <c r="G27" s="9"/>
      <c r="H27" s="9"/>
      <c r="I27" s="9"/>
      <c r="J27" s="10"/>
    </row>
    <row r="28" spans="1:10" ht="56.25" customHeight="1" x14ac:dyDescent="0.25">
      <c r="A28" s="9"/>
      <c r="B28" s="8"/>
      <c r="C28" s="9"/>
      <c r="D28" s="9"/>
      <c r="E28" s="8"/>
      <c r="F28" s="9"/>
      <c r="G28" s="9"/>
      <c r="H28" s="9"/>
      <c r="I28" s="9"/>
      <c r="J28" s="10"/>
    </row>
    <row r="29" spans="1:10" ht="61.5" customHeight="1" x14ac:dyDescent="0.25">
      <c r="A29" s="9"/>
      <c r="B29" s="8"/>
      <c r="C29" s="9"/>
      <c r="D29" s="9"/>
      <c r="E29" s="8"/>
      <c r="F29" s="9"/>
      <c r="G29" s="9"/>
      <c r="H29" s="9"/>
      <c r="I29" s="9"/>
      <c r="J29" s="10"/>
    </row>
    <row r="30" spans="1:10" ht="63" customHeight="1" x14ac:dyDescent="0.25">
      <c r="A30" s="9"/>
      <c r="B30" s="8"/>
      <c r="C30" s="9"/>
      <c r="D30" s="9"/>
      <c r="E30" s="8"/>
      <c r="F30" s="9"/>
      <c r="G30" s="9"/>
      <c r="H30" s="9"/>
      <c r="I30" s="9"/>
      <c r="J30" s="10"/>
    </row>
    <row r="31" spans="1:10" ht="72" customHeight="1" x14ac:dyDescent="0.25">
      <c r="A31" s="9"/>
      <c r="B31" s="8"/>
      <c r="C31" s="9"/>
      <c r="D31" s="9"/>
      <c r="E31" s="8"/>
      <c r="F31" s="9"/>
      <c r="G31" s="9"/>
      <c r="H31" s="9"/>
      <c r="I31" s="9"/>
      <c r="J31" s="10"/>
    </row>
    <row r="32" spans="1:10" ht="61.5" customHeight="1" x14ac:dyDescent="0.25">
      <c r="A32" s="9"/>
      <c r="B32" s="8"/>
      <c r="C32" s="9"/>
      <c r="D32" s="9"/>
      <c r="E32" s="8"/>
      <c r="F32" s="9"/>
      <c r="G32" s="9"/>
      <c r="H32" s="9"/>
      <c r="I32" s="9"/>
      <c r="J32" s="10"/>
    </row>
    <row r="33" spans="1:10" ht="65.25" customHeight="1" x14ac:dyDescent="0.25">
      <c r="A33" s="9"/>
      <c r="B33" s="8"/>
      <c r="C33" s="9"/>
      <c r="D33" s="9"/>
      <c r="E33" s="8"/>
      <c r="F33" s="9"/>
      <c r="G33" s="9"/>
      <c r="H33" s="9"/>
      <c r="I33" s="9"/>
      <c r="J33" s="10"/>
    </row>
    <row r="34" spans="1:10" ht="57.75" customHeight="1" x14ac:dyDescent="0.25">
      <c r="A34" s="9"/>
      <c r="B34" s="8"/>
      <c r="C34" s="9"/>
      <c r="D34" s="9"/>
      <c r="E34" s="8"/>
      <c r="F34" s="9"/>
      <c r="G34" s="9"/>
      <c r="H34" s="9"/>
      <c r="I34" s="9"/>
      <c r="J34" s="10"/>
    </row>
    <row r="35" spans="1:10" ht="73.5" customHeight="1" x14ac:dyDescent="0.25">
      <c r="A35" s="9"/>
      <c r="B35" s="8"/>
      <c r="C35" s="9"/>
      <c r="D35" s="9"/>
      <c r="E35" s="8"/>
      <c r="F35" s="9"/>
      <c r="G35" s="9"/>
      <c r="H35" s="9"/>
      <c r="I35" s="9"/>
      <c r="J35" s="10"/>
    </row>
    <row r="36" spans="1:10" ht="15.75" customHeight="1" x14ac:dyDescent="0.25">
      <c r="B36" s="11"/>
      <c r="E36" s="11"/>
      <c r="J36" s="12"/>
    </row>
    <row r="37" spans="1:10" ht="15.75" customHeight="1" x14ac:dyDescent="0.25">
      <c r="B37" s="11"/>
      <c r="E37" s="11"/>
      <c r="J37" s="12"/>
    </row>
    <row r="38" spans="1:10" ht="15.75" customHeight="1" x14ac:dyDescent="0.25">
      <c r="B38" s="11"/>
      <c r="E38" s="11"/>
      <c r="J38" s="12"/>
    </row>
    <row r="39" spans="1:10" ht="15.75" customHeight="1" x14ac:dyDescent="0.25">
      <c r="B39" s="11"/>
      <c r="E39" s="11"/>
      <c r="J39" s="12"/>
    </row>
    <row r="40" spans="1:10" ht="15.75" customHeight="1" x14ac:dyDescent="0.25">
      <c r="B40" s="11"/>
      <c r="E40" s="11"/>
      <c r="J40" s="12"/>
    </row>
    <row r="41" spans="1:10" ht="15.75" customHeight="1" x14ac:dyDescent="0.25">
      <c r="B41" s="11"/>
      <c r="E41" s="11"/>
      <c r="J41" s="12"/>
    </row>
    <row r="42" spans="1:10" ht="15.75" customHeight="1" x14ac:dyDescent="0.25">
      <c r="B42" s="11"/>
      <c r="E42" s="11"/>
      <c r="J42" s="12"/>
    </row>
    <row r="43" spans="1:10" ht="15.75" customHeight="1" x14ac:dyDescent="0.25">
      <c r="B43" s="11"/>
      <c r="E43" s="11"/>
      <c r="J43" s="12"/>
    </row>
    <row r="44" spans="1:10" ht="15.75" customHeight="1" x14ac:dyDescent="0.25">
      <c r="B44" s="11"/>
      <c r="E44" s="11"/>
      <c r="J44" s="12"/>
    </row>
    <row r="45" spans="1:10" ht="15.75" customHeight="1" x14ac:dyDescent="0.25">
      <c r="B45" s="11"/>
      <c r="E45" s="11"/>
      <c r="J45" s="12"/>
    </row>
    <row r="46" spans="1:10" ht="15.75" customHeight="1" x14ac:dyDescent="0.25">
      <c r="B46" s="11"/>
      <c r="E46" s="11"/>
      <c r="J46" s="12"/>
    </row>
    <row r="47" spans="1:10" ht="15.75" customHeight="1" x14ac:dyDescent="0.25">
      <c r="B47" s="11"/>
      <c r="E47" s="11"/>
      <c r="J47" s="12"/>
    </row>
    <row r="48" spans="1:10" ht="15.75" customHeight="1" x14ac:dyDescent="0.25">
      <c r="B48" s="11"/>
      <c r="E48" s="11"/>
      <c r="J48" s="12"/>
    </row>
    <row r="49" spans="2:10" ht="15.75" customHeight="1" x14ac:dyDescent="0.25">
      <c r="B49" s="11"/>
      <c r="E49" s="11"/>
      <c r="J49" s="12"/>
    </row>
    <row r="50" spans="2:10" ht="15.75" customHeight="1" x14ac:dyDescent="0.25">
      <c r="B50" s="11"/>
      <c r="E50" s="11"/>
      <c r="J50" s="12"/>
    </row>
    <row r="51" spans="2:10" ht="15.75" customHeight="1" x14ac:dyDescent="0.25">
      <c r="B51" s="11"/>
      <c r="E51" s="11"/>
      <c r="J51" s="12"/>
    </row>
    <row r="52" spans="2:10" ht="15.75" customHeight="1" x14ac:dyDescent="0.25">
      <c r="B52" s="11"/>
      <c r="E52" s="11"/>
      <c r="J52" s="12"/>
    </row>
    <row r="53" spans="2:10" ht="15.75" customHeight="1" x14ac:dyDescent="0.25">
      <c r="B53" s="11"/>
      <c r="E53" s="11"/>
      <c r="J53" s="12"/>
    </row>
    <row r="54" spans="2:10" ht="15.75" customHeight="1" x14ac:dyDescent="0.25">
      <c r="B54" s="11"/>
      <c r="E54" s="11"/>
      <c r="J54" s="12"/>
    </row>
    <row r="55" spans="2:10" ht="15.75" customHeight="1" x14ac:dyDescent="0.25">
      <c r="B55" s="11"/>
      <c r="E55" s="11"/>
      <c r="J55" s="12"/>
    </row>
    <row r="56" spans="2:10" ht="15.75" customHeight="1" x14ac:dyDescent="0.25">
      <c r="B56" s="11"/>
      <c r="E56" s="11"/>
      <c r="J56" s="12"/>
    </row>
    <row r="57" spans="2:10" ht="15.75" customHeight="1" x14ac:dyDescent="0.25">
      <c r="B57" s="11"/>
      <c r="E57" s="11"/>
      <c r="J57" s="12"/>
    </row>
    <row r="58" spans="2:10" ht="15.75" customHeight="1" x14ac:dyDescent="0.25">
      <c r="B58" s="11"/>
      <c r="E58" s="11"/>
      <c r="J58" s="12"/>
    </row>
    <row r="59" spans="2:10" ht="15.75" customHeight="1" x14ac:dyDescent="0.25">
      <c r="B59" s="11"/>
      <c r="E59" s="11"/>
      <c r="J59" s="12"/>
    </row>
    <row r="60" spans="2:10" ht="15.75" customHeight="1" x14ac:dyDescent="0.25">
      <c r="B60" s="11"/>
      <c r="E60" s="11"/>
      <c r="J60" s="12"/>
    </row>
    <row r="61" spans="2:10" ht="15.75" customHeight="1" x14ac:dyDescent="0.25">
      <c r="B61" s="11"/>
      <c r="E61" s="11"/>
      <c r="J61" s="12"/>
    </row>
    <row r="62" spans="2:10" ht="15.75" customHeight="1" x14ac:dyDescent="0.25">
      <c r="B62" s="11"/>
      <c r="E62" s="11"/>
      <c r="J62" s="12"/>
    </row>
    <row r="63" spans="2:10" ht="15.75" customHeight="1" x14ac:dyDescent="0.25">
      <c r="B63" s="11"/>
      <c r="E63" s="11"/>
      <c r="J63" s="12"/>
    </row>
    <row r="64" spans="2:10" ht="15.75" customHeight="1" x14ac:dyDescent="0.25">
      <c r="B64" s="11"/>
      <c r="E64" s="11"/>
      <c r="J64" s="12"/>
    </row>
    <row r="65" spans="2:10" ht="15.75" customHeight="1" x14ac:dyDescent="0.25">
      <c r="B65" s="11"/>
      <c r="E65" s="11"/>
      <c r="J65" s="12"/>
    </row>
    <row r="66" spans="2:10" ht="15.75" customHeight="1" x14ac:dyDescent="0.25">
      <c r="B66" s="11"/>
      <c r="E66" s="11"/>
      <c r="J66" s="12"/>
    </row>
    <row r="67" spans="2:10" ht="15.75" customHeight="1" x14ac:dyDescent="0.25">
      <c r="B67" s="11"/>
      <c r="E67" s="11"/>
      <c r="J67" s="12"/>
    </row>
    <row r="68" spans="2:10" ht="15.75" customHeight="1" x14ac:dyDescent="0.25">
      <c r="B68" s="11"/>
      <c r="E68" s="11"/>
      <c r="J68" s="12"/>
    </row>
    <row r="69" spans="2:10" ht="15.75" customHeight="1" x14ac:dyDescent="0.25">
      <c r="B69" s="11"/>
      <c r="E69" s="11"/>
      <c r="J69" s="12"/>
    </row>
    <row r="70" spans="2:10" ht="15.75" customHeight="1" x14ac:dyDescent="0.25">
      <c r="B70" s="11"/>
      <c r="E70" s="11"/>
      <c r="J70" s="12"/>
    </row>
    <row r="71" spans="2:10" ht="15.75" customHeight="1" x14ac:dyDescent="0.25">
      <c r="B71" s="11"/>
      <c r="E71" s="11"/>
      <c r="J71" s="12"/>
    </row>
    <row r="72" spans="2:10" ht="15.75" customHeight="1" x14ac:dyDescent="0.25">
      <c r="B72" s="11"/>
      <c r="E72" s="11"/>
      <c r="J72" s="12"/>
    </row>
    <row r="73" spans="2:10" ht="15.75" customHeight="1" x14ac:dyDescent="0.25">
      <c r="B73" s="11"/>
      <c r="E73" s="11"/>
      <c r="J73" s="12"/>
    </row>
    <row r="74" spans="2:10" ht="15.75" customHeight="1" x14ac:dyDescent="0.25">
      <c r="B74" s="11"/>
      <c r="E74" s="11"/>
      <c r="J74" s="12"/>
    </row>
    <row r="75" spans="2:10" ht="15.75" customHeight="1" x14ac:dyDescent="0.25">
      <c r="B75" s="11"/>
      <c r="E75" s="11"/>
      <c r="J75" s="12"/>
    </row>
    <row r="76" spans="2:10" ht="15.75" customHeight="1" x14ac:dyDescent="0.25">
      <c r="B76" s="11"/>
      <c r="E76" s="11"/>
      <c r="J76" s="12"/>
    </row>
    <row r="77" spans="2:10" ht="15.75" customHeight="1" x14ac:dyDescent="0.25">
      <c r="B77" s="11"/>
      <c r="E77" s="11"/>
      <c r="J77" s="12"/>
    </row>
    <row r="78" spans="2:10" ht="15.75" customHeight="1" x14ac:dyDescent="0.25">
      <c r="B78" s="11"/>
      <c r="E78" s="11"/>
      <c r="J78" s="12"/>
    </row>
    <row r="79" spans="2:10" ht="15.75" customHeight="1" x14ac:dyDescent="0.25">
      <c r="B79" s="11"/>
      <c r="E79" s="11"/>
      <c r="J79" s="12"/>
    </row>
    <row r="80" spans="2:10" ht="15.75" customHeight="1" x14ac:dyDescent="0.25">
      <c r="B80" s="11"/>
      <c r="E80" s="11"/>
      <c r="J80" s="12"/>
    </row>
    <row r="81" spans="2:10" ht="15.75" customHeight="1" x14ac:dyDescent="0.25">
      <c r="B81" s="11"/>
      <c r="E81" s="11"/>
      <c r="J81" s="12"/>
    </row>
    <row r="82" spans="2:10" ht="15.75" customHeight="1" x14ac:dyDescent="0.25">
      <c r="B82" s="11"/>
      <c r="E82" s="11"/>
      <c r="J82" s="12"/>
    </row>
    <row r="83" spans="2:10" ht="15.75" customHeight="1" x14ac:dyDescent="0.25">
      <c r="B83" s="11"/>
      <c r="E83" s="11"/>
      <c r="J83" s="12"/>
    </row>
    <row r="84" spans="2:10" ht="15.75" customHeight="1" x14ac:dyDescent="0.25">
      <c r="B84" s="11"/>
      <c r="E84" s="11"/>
      <c r="J84" s="12"/>
    </row>
    <row r="85" spans="2:10" ht="15.75" customHeight="1" x14ac:dyDescent="0.25">
      <c r="B85" s="11"/>
      <c r="E85" s="11"/>
      <c r="J85" s="12"/>
    </row>
    <row r="86" spans="2:10" ht="15.75" customHeight="1" x14ac:dyDescent="0.25">
      <c r="B86" s="11"/>
      <c r="E86" s="11"/>
      <c r="J86" s="12"/>
    </row>
    <row r="87" spans="2:10" ht="15.75" customHeight="1" x14ac:dyDescent="0.25">
      <c r="B87" s="11"/>
      <c r="E87" s="11"/>
      <c r="J87" s="12"/>
    </row>
    <row r="88" spans="2:10" ht="15.75" customHeight="1" x14ac:dyDescent="0.25">
      <c r="B88" s="11"/>
      <c r="E88" s="11"/>
      <c r="J88" s="12"/>
    </row>
    <row r="89" spans="2:10" ht="15.75" customHeight="1" x14ac:dyDescent="0.25">
      <c r="B89" s="11"/>
      <c r="E89" s="11"/>
      <c r="J89" s="12"/>
    </row>
    <row r="90" spans="2:10" ht="15.75" customHeight="1" x14ac:dyDescent="0.25">
      <c r="B90" s="11"/>
      <c r="E90" s="11"/>
      <c r="J90" s="12"/>
    </row>
    <row r="91" spans="2:10" ht="15.75" customHeight="1" x14ac:dyDescent="0.25">
      <c r="B91" s="11"/>
      <c r="E91" s="11"/>
      <c r="J91" s="12"/>
    </row>
    <row r="92" spans="2:10" ht="15.75" customHeight="1" x14ac:dyDescent="0.25">
      <c r="B92" s="11"/>
      <c r="E92" s="11"/>
      <c r="J92" s="12"/>
    </row>
    <row r="93" spans="2:10" ht="15.75" customHeight="1" x14ac:dyDescent="0.25">
      <c r="B93" s="11"/>
      <c r="E93" s="11"/>
      <c r="J93" s="12"/>
    </row>
    <row r="94" spans="2:10" ht="15.75" customHeight="1" x14ac:dyDescent="0.25">
      <c r="B94" s="11"/>
      <c r="E94" s="11"/>
      <c r="J94" s="12"/>
    </row>
    <row r="95" spans="2:10" ht="15.75" customHeight="1" x14ac:dyDescent="0.25">
      <c r="B95" s="11"/>
      <c r="E95" s="11"/>
      <c r="J95" s="12"/>
    </row>
    <row r="96" spans="2:10" ht="15.75" customHeight="1" x14ac:dyDescent="0.25">
      <c r="B96" s="11"/>
      <c r="E96" s="11"/>
      <c r="J96" s="12"/>
    </row>
    <row r="97" spans="2:10" ht="15.75" customHeight="1" x14ac:dyDescent="0.25">
      <c r="B97" s="11"/>
      <c r="E97" s="11"/>
      <c r="J97" s="12"/>
    </row>
    <row r="98" spans="2:10" ht="15.75" customHeight="1" x14ac:dyDescent="0.25">
      <c r="B98" s="11"/>
      <c r="E98" s="11"/>
      <c r="J98" s="12"/>
    </row>
    <row r="99" spans="2:10" ht="15.75" customHeight="1" x14ac:dyDescent="0.25">
      <c r="B99" s="11"/>
      <c r="E99" s="11"/>
      <c r="J99" s="12"/>
    </row>
    <row r="100" spans="2:10" ht="15.75" customHeight="1" x14ac:dyDescent="0.25">
      <c r="B100" s="11"/>
      <c r="E100" s="11"/>
      <c r="J100" s="12"/>
    </row>
    <row r="101" spans="2:10" ht="15.75" customHeight="1" x14ac:dyDescent="0.25">
      <c r="B101" s="11"/>
      <c r="E101" s="11"/>
      <c r="J101" s="12"/>
    </row>
    <row r="102" spans="2:10" ht="15.75" customHeight="1" x14ac:dyDescent="0.25">
      <c r="B102" s="11"/>
      <c r="E102" s="11"/>
      <c r="J102" s="12"/>
    </row>
    <row r="103" spans="2:10" ht="15.75" customHeight="1" x14ac:dyDescent="0.25">
      <c r="B103" s="11"/>
      <c r="E103" s="11"/>
      <c r="J103" s="12"/>
    </row>
    <row r="104" spans="2:10" ht="15.75" customHeight="1" x14ac:dyDescent="0.25">
      <c r="B104" s="11"/>
      <c r="E104" s="11"/>
      <c r="J104" s="12"/>
    </row>
    <row r="105" spans="2:10" ht="15.75" customHeight="1" x14ac:dyDescent="0.25">
      <c r="B105" s="11"/>
      <c r="E105" s="11"/>
      <c r="J105" s="12"/>
    </row>
    <row r="106" spans="2:10" ht="15.75" customHeight="1" x14ac:dyDescent="0.25">
      <c r="B106" s="11"/>
      <c r="E106" s="11"/>
      <c r="J106" s="12"/>
    </row>
    <row r="107" spans="2:10" ht="15.75" customHeight="1" x14ac:dyDescent="0.25">
      <c r="B107" s="11"/>
      <c r="E107" s="11"/>
      <c r="J107" s="12"/>
    </row>
    <row r="108" spans="2:10" ht="15.75" customHeight="1" x14ac:dyDescent="0.25">
      <c r="B108" s="11"/>
      <c r="E108" s="11"/>
      <c r="J108" s="12"/>
    </row>
    <row r="109" spans="2:10" ht="15.75" customHeight="1" x14ac:dyDescent="0.25">
      <c r="B109" s="11"/>
      <c r="E109" s="11"/>
      <c r="J109" s="12"/>
    </row>
    <row r="110" spans="2:10" ht="15.75" customHeight="1" x14ac:dyDescent="0.25">
      <c r="B110" s="11"/>
      <c r="E110" s="11"/>
      <c r="J110" s="12"/>
    </row>
    <row r="111" spans="2:10" ht="15.75" customHeight="1" x14ac:dyDescent="0.25">
      <c r="B111" s="11"/>
      <c r="E111" s="11"/>
      <c r="J111" s="12"/>
    </row>
    <row r="112" spans="2:10" ht="15.75" customHeight="1" x14ac:dyDescent="0.25">
      <c r="B112" s="11"/>
      <c r="E112" s="11"/>
      <c r="J112" s="12"/>
    </row>
    <row r="113" spans="2:10" ht="15.75" customHeight="1" x14ac:dyDescent="0.25">
      <c r="B113" s="11"/>
      <c r="E113" s="11"/>
      <c r="J113" s="12"/>
    </row>
    <row r="114" spans="2:10" ht="15.75" customHeight="1" x14ac:dyDescent="0.25">
      <c r="B114" s="11"/>
      <c r="E114" s="11"/>
      <c r="J114" s="12"/>
    </row>
    <row r="115" spans="2:10" ht="15.75" customHeight="1" x14ac:dyDescent="0.25">
      <c r="B115" s="11"/>
      <c r="E115" s="11"/>
      <c r="J115" s="12"/>
    </row>
    <row r="116" spans="2:10" ht="15.75" customHeight="1" x14ac:dyDescent="0.25">
      <c r="B116" s="11"/>
      <c r="E116" s="11"/>
      <c r="J116" s="12"/>
    </row>
    <row r="117" spans="2:10" ht="15.75" customHeight="1" x14ac:dyDescent="0.25">
      <c r="B117" s="11"/>
      <c r="E117" s="11"/>
      <c r="J117" s="12"/>
    </row>
    <row r="118" spans="2:10" ht="15.75" customHeight="1" x14ac:dyDescent="0.25">
      <c r="B118" s="11"/>
      <c r="E118" s="11"/>
      <c r="J118" s="12"/>
    </row>
    <row r="119" spans="2:10" ht="15.75" customHeight="1" x14ac:dyDescent="0.25">
      <c r="B119" s="11"/>
      <c r="E119" s="11"/>
      <c r="J119" s="12"/>
    </row>
    <row r="120" spans="2:10" ht="15.75" customHeight="1" x14ac:dyDescent="0.25">
      <c r="B120" s="11"/>
      <c r="E120" s="11"/>
      <c r="J120" s="12"/>
    </row>
    <row r="121" spans="2:10" ht="15.75" customHeight="1" x14ac:dyDescent="0.25">
      <c r="B121" s="11"/>
      <c r="E121" s="11"/>
      <c r="J121" s="12"/>
    </row>
    <row r="122" spans="2:10" ht="15.75" customHeight="1" x14ac:dyDescent="0.25">
      <c r="B122" s="11"/>
      <c r="E122" s="11"/>
      <c r="J122" s="12"/>
    </row>
    <row r="123" spans="2:10" ht="15.75" customHeight="1" x14ac:dyDescent="0.25">
      <c r="B123" s="11"/>
      <c r="E123" s="11"/>
      <c r="J123" s="12"/>
    </row>
    <row r="124" spans="2:10" ht="15.75" customHeight="1" x14ac:dyDescent="0.25">
      <c r="B124" s="11"/>
      <c r="E124" s="11"/>
      <c r="J124" s="12"/>
    </row>
    <row r="125" spans="2:10" ht="15.75" customHeight="1" x14ac:dyDescent="0.25">
      <c r="B125" s="11"/>
      <c r="E125" s="11"/>
      <c r="J125" s="12"/>
    </row>
    <row r="126" spans="2:10" ht="15.75" customHeight="1" x14ac:dyDescent="0.25">
      <c r="B126" s="11"/>
      <c r="E126" s="11"/>
      <c r="J126" s="12"/>
    </row>
    <row r="127" spans="2:10" ht="15.75" customHeight="1" x14ac:dyDescent="0.25">
      <c r="B127" s="11"/>
      <c r="E127" s="11"/>
      <c r="J127" s="12"/>
    </row>
    <row r="128" spans="2:10" ht="15.75" customHeight="1" x14ac:dyDescent="0.25">
      <c r="B128" s="11"/>
      <c r="E128" s="11"/>
      <c r="J128" s="12"/>
    </row>
    <row r="129" spans="2:10" ht="15.75" customHeight="1" x14ac:dyDescent="0.25">
      <c r="B129" s="11"/>
      <c r="E129" s="11"/>
      <c r="J129" s="12"/>
    </row>
    <row r="130" spans="2:10" ht="15.75" customHeight="1" x14ac:dyDescent="0.25">
      <c r="B130" s="11"/>
      <c r="E130" s="11"/>
      <c r="J130" s="12"/>
    </row>
    <row r="131" spans="2:10" ht="15.75" customHeight="1" x14ac:dyDescent="0.25">
      <c r="B131" s="11"/>
      <c r="E131" s="11"/>
      <c r="J131" s="12"/>
    </row>
    <row r="132" spans="2:10" ht="15.75" customHeight="1" x14ac:dyDescent="0.25">
      <c r="B132" s="11"/>
      <c r="E132" s="11"/>
      <c r="J132" s="12"/>
    </row>
    <row r="133" spans="2:10" ht="15.75" customHeight="1" x14ac:dyDescent="0.25">
      <c r="B133" s="11"/>
      <c r="E133" s="11"/>
      <c r="J133" s="12"/>
    </row>
    <row r="134" spans="2:10" ht="15.75" customHeight="1" x14ac:dyDescent="0.25">
      <c r="B134" s="11"/>
      <c r="E134" s="11"/>
      <c r="J134" s="12"/>
    </row>
    <row r="135" spans="2:10" ht="15.75" customHeight="1" x14ac:dyDescent="0.25">
      <c r="B135" s="11"/>
      <c r="E135" s="11"/>
      <c r="J135" s="12"/>
    </row>
    <row r="136" spans="2:10" ht="15.75" customHeight="1" x14ac:dyDescent="0.25">
      <c r="B136" s="11"/>
      <c r="E136" s="11"/>
      <c r="J136" s="12"/>
    </row>
    <row r="137" spans="2:10" ht="15.75" customHeight="1" x14ac:dyDescent="0.25">
      <c r="B137" s="11"/>
      <c r="E137" s="11"/>
      <c r="J137" s="12"/>
    </row>
    <row r="138" spans="2:10" ht="15.75" customHeight="1" x14ac:dyDescent="0.25">
      <c r="B138" s="11"/>
      <c r="E138" s="11"/>
      <c r="J138" s="12"/>
    </row>
    <row r="139" spans="2:10" ht="15.75" customHeight="1" x14ac:dyDescent="0.25">
      <c r="B139" s="11"/>
      <c r="E139" s="11"/>
      <c r="J139" s="12"/>
    </row>
    <row r="140" spans="2:10" ht="15.75" customHeight="1" x14ac:dyDescent="0.25">
      <c r="B140" s="11"/>
      <c r="E140" s="11"/>
      <c r="J140" s="12"/>
    </row>
    <row r="141" spans="2:10" ht="15.75" customHeight="1" x14ac:dyDescent="0.25">
      <c r="B141" s="11"/>
      <c r="E141" s="11"/>
      <c r="J141" s="12"/>
    </row>
    <row r="142" spans="2:10" ht="15.75" customHeight="1" x14ac:dyDescent="0.25">
      <c r="B142" s="11"/>
      <c r="E142" s="11"/>
      <c r="J142" s="12"/>
    </row>
    <row r="143" spans="2:10" ht="15.75" customHeight="1" x14ac:dyDescent="0.25">
      <c r="B143" s="11"/>
      <c r="E143" s="11"/>
      <c r="J143" s="12"/>
    </row>
    <row r="144" spans="2:10" ht="15.75" customHeight="1" x14ac:dyDescent="0.25">
      <c r="B144" s="11"/>
      <c r="E144" s="11"/>
      <c r="J144" s="12"/>
    </row>
    <row r="145" spans="2:10" ht="15.75" customHeight="1" x14ac:dyDescent="0.25">
      <c r="B145" s="11"/>
      <c r="E145" s="11"/>
      <c r="J145" s="12"/>
    </row>
    <row r="146" spans="2:10" ht="15.75" customHeight="1" x14ac:dyDescent="0.25">
      <c r="B146" s="11"/>
      <c r="E146" s="11"/>
      <c r="J146" s="12"/>
    </row>
    <row r="147" spans="2:10" ht="15.75" customHeight="1" x14ac:dyDescent="0.25">
      <c r="B147" s="11"/>
      <c r="E147" s="11"/>
      <c r="J147" s="12"/>
    </row>
    <row r="148" spans="2:10" ht="15.75" customHeight="1" x14ac:dyDescent="0.25">
      <c r="B148" s="11"/>
      <c r="E148" s="11"/>
      <c r="J148" s="12"/>
    </row>
    <row r="149" spans="2:10" ht="15.75" customHeight="1" x14ac:dyDescent="0.25">
      <c r="B149" s="11"/>
      <c r="E149" s="11"/>
      <c r="J149" s="12"/>
    </row>
    <row r="150" spans="2:10" ht="15.75" customHeight="1" x14ac:dyDescent="0.25">
      <c r="B150" s="11"/>
      <c r="E150" s="11"/>
      <c r="J150" s="12"/>
    </row>
    <row r="151" spans="2:10" ht="15.75" customHeight="1" x14ac:dyDescent="0.25">
      <c r="B151" s="11"/>
      <c r="E151" s="11"/>
      <c r="J151" s="12"/>
    </row>
    <row r="152" spans="2:10" ht="15.75" customHeight="1" x14ac:dyDescent="0.25">
      <c r="B152" s="11"/>
      <c r="E152" s="11"/>
      <c r="J152" s="12"/>
    </row>
    <row r="153" spans="2:10" ht="15.75" customHeight="1" x14ac:dyDescent="0.25">
      <c r="B153" s="11"/>
      <c r="E153" s="11"/>
      <c r="J153" s="12"/>
    </row>
    <row r="154" spans="2:10" ht="15.75" customHeight="1" x14ac:dyDescent="0.25">
      <c r="B154" s="11"/>
      <c r="E154" s="11"/>
      <c r="J154" s="12"/>
    </row>
    <row r="155" spans="2:10" ht="15.75" customHeight="1" x14ac:dyDescent="0.25">
      <c r="B155" s="11"/>
      <c r="E155" s="11"/>
      <c r="J155" s="12"/>
    </row>
    <row r="156" spans="2:10" ht="15.75" customHeight="1" x14ac:dyDescent="0.25">
      <c r="B156" s="11"/>
      <c r="E156" s="11"/>
      <c r="J156" s="12"/>
    </row>
    <row r="157" spans="2:10" ht="15.75" customHeight="1" x14ac:dyDescent="0.25">
      <c r="B157" s="11"/>
      <c r="E157" s="11"/>
      <c r="J157" s="12"/>
    </row>
    <row r="158" spans="2:10" ht="15.75" customHeight="1" x14ac:dyDescent="0.25">
      <c r="B158" s="11"/>
      <c r="E158" s="11"/>
      <c r="J158" s="12"/>
    </row>
    <row r="159" spans="2:10" ht="15.75" customHeight="1" x14ac:dyDescent="0.25">
      <c r="B159" s="11"/>
      <c r="E159" s="11"/>
      <c r="J159" s="12"/>
    </row>
    <row r="160" spans="2:10" ht="15.75" customHeight="1" x14ac:dyDescent="0.25">
      <c r="B160" s="11"/>
      <c r="E160" s="11"/>
      <c r="J160" s="12"/>
    </row>
    <row r="161" spans="2:10" ht="15.75" customHeight="1" x14ac:dyDescent="0.25">
      <c r="B161" s="11"/>
      <c r="E161" s="11"/>
      <c r="J161" s="12"/>
    </row>
    <row r="162" spans="2:10" ht="15.75" customHeight="1" x14ac:dyDescent="0.25">
      <c r="B162" s="11"/>
      <c r="E162" s="11"/>
      <c r="J162" s="12"/>
    </row>
    <row r="163" spans="2:10" ht="15.75" customHeight="1" x14ac:dyDescent="0.25">
      <c r="B163" s="11"/>
      <c r="E163" s="11"/>
      <c r="J163" s="12"/>
    </row>
    <row r="164" spans="2:10" ht="15.75" customHeight="1" x14ac:dyDescent="0.25">
      <c r="B164" s="11"/>
      <c r="E164" s="11"/>
      <c r="J164" s="12"/>
    </row>
    <row r="165" spans="2:10" ht="15.75" customHeight="1" x14ac:dyDescent="0.25">
      <c r="B165" s="11"/>
      <c r="E165" s="11"/>
      <c r="J165" s="12"/>
    </row>
    <row r="166" spans="2:10" ht="15.75" customHeight="1" x14ac:dyDescent="0.25">
      <c r="B166" s="11"/>
      <c r="E166" s="11"/>
      <c r="J166" s="12"/>
    </row>
    <row r="167" spans="2:10" ht="15.75" customHeight="1" x14ac:dyDescent="0.25">
      <c r="B167" s="11"/>
      <c r="E167" s="11"/>
      <c r="J167" s="12"/>
    </row>
    <row r="168" spans="2:10" ht="15.75" customHeight="1" x14ac:dyDescent="0.25">
      <c r="B168" s="11"/>
      <c r="E168" s="11"/>
      <c r="J168" s="12"/>
    </row>
    <row r="169" spans="2:10" ht="15.75" customHeight="1" x14ac:dyDescent="0.25">
      <c r="B169" s="11"/>
      <c r="E169" s="11"/>
      <c r="J169" s="12"/>
    </row>
    <row r="170" spans="2:10" ht="15.75" customHeight="1" x14ac:dyDescent="0.25">
      <c r="B170" s="11"/>
      <c r="E170" s="11"/>
      <c r="J170" s="12"/>
    </row>
    <row r="171" spans="2:10" ht="15.75" customHeight="1" x14ac:dyDescent="0.25">
      <c r="B171" s="11"/>
      <c r="E171" s="11"/>
      <c r="J171" s="12"/>
    </row>
    <row r="172" spans="2:10" ht="15.75" customHeight="1" x14ac:dyDescent="0.25">
      <c r="B172" s="11"/>
      <c r="E172" s="11"/>
      <c r="J172" s="12"/>
    </row>
    <row r="173" spans="2:10" ht="15.75" customHeight="1" x14ac:dyDescent="0.25">
      <c r="B173" s="11"/>
      <c r="E173" s="11"/>
      <c r="J173" s="12"/>
    </row>
    <row r="174" spans="2:10" ht="15.75" customHeight="1" x14ac:dyDescent="0.25">
      <c r="B174" s="11"/>
      <c r="E174" s="11"/>
      <c r="J174" s="12"/>
    </row>
    <row r="175" spans="2:10" ht="15.75" customHeight="1" x14ac:dyDescent="0.25">
      <c r="B175" s="11"/>
      <c r="E175" s="11"/>
      <c r="J175" s="12"/>
    </row>
    <row r="176" spans="2:10" ht="15.75" customHeight="1" x14ac:dyDescent="0.25">
      <c r="B176" s="11"/>
      <c r="E176" s="11"/>
      <c r="J176" s="12"/>
    </row>
    <row r="177" spans="2:10" ht="15.75" customHeight="1" x14ac:dyDescent="0.25">
      <c r="B177" s="11"/>
      <c r="E177" s="11"/>
      <c r="J177" s="12"/>
    </row>
    <row r="178" spans="2:10" ht="15.75" customHeight="1" x14ac:dyDescent="0.25">
      <c r="B178" s="11"/>
      <c r="E178" s="11"/>
      <c r="J178" s="12"/>
    </row>
    <row r="179" spans="2:10" ht="15.75" customHeight="1" x14ac:dyDescent="0.25">
      <c r="B179" s="11"/>
      <c r="E179" s="11"/>
      <c r="J179" s="12"/>
    </row>
    <row r="180" spans="2:10" ht="15.75" customHeight="1" x14ac:dyDescent="0.25">
      <c r="B180" s="11"/>
      <c r="E180" s="11"/>
      <c r="J180" s="12"/>
    </row>
    <row r="181" spans="2:10" ht="15.75" customHeight="1" x14ac:dyDescent="0.25">
      <c r="B181" s="11"/>
      <c r="E181" s="11"/>
      <c r="J181" s="12"/>
    </row>
    <row r="182" spans="2:10" ht="15.75" customHeight="1" x14ac:dyDescent="0.25">
      <c r="B182" s="11"/>
      <c r="E182" s="11"/>
      <c r="J182" s="12"/>
    </row>
    <row r="183" spans="2:10" ht="15.75" customHeight="1" x14ac:dyDescent="0.25">
      <c r="B183" s="11"/>
      <c r="E183" s="11"/>
      <c r="J183" s="12"/>
    </row>
    <row r="184" spans="2:10" ht="15.75" customHeight="1" x14ac:dyDescent="0.25">
      <c r="B184" s="11"/>
      <c r="E184" s="11"/>
      <c r="J184" s="12"/>
    </row>
    <row r="185" spans="2:10" ht="15.75" customHeight="1" x14ac:dyDescent="0.25">
      <c r="B185" s="11"/>
      <c r="E185" s="11"/>
      <c r="J185" s="12"/>
    </row>
    <row r="186" spans="2:10" ht="15.75" customHeight="1" x14ac:dyDescent="0.25">
      <c r="B186" s="11"/>
      <c r="E186" s="11"/>
      <c r="J186" s="12"/>
    </row>
    <row r="187" spans="2:10" ht="15.75" customHeight="1" x14ac:dyDescent="0.25">
      <c r="B187" s="11"/>
      <c r="E187" s="11"/>
      <c r="J187" s="12"/>
    </row>
    <row r="188" spans="2:10" ht="15.75" customHeight="1" x14ac:dyDescent="0.25">
      <c r="B188" s="11"/>
      <c r="E188" s="11"/>
      <c r="J188" s="12"/>
    </row>
    <row r="189" spans="2:10" ht="15.75" customHeight="1" x14ac:dyDescent="0.25">
      <c r="B189" s="11"/>
      <c r="E189" s="11"/>
      <c r="J189" s="12"/>
    </row>
    <row r="190" spans="2:10" ht="15.75" customHeight="1" x14ac:dyDescent="0.25">
      <c r="B190" s="11"/>
      <c r="E190" s="11"/>
      <c r="J190" s="12"/>
    </row>
    <row r="191" spans="2:10" ht="15.75" customHeight="1" x14ac:dyDescent="0.25">
      <c r="B191" s="11"/>
      <c r="E191" s="11"/>
      <c r="J191" s="12"/>
    </row>
    <row r="192" spans="2:10" ht="15.75" customHeight="1" x14ac:dyDescent="0.25">
      <c r="B192" s="11"/>
      <c r="E192" s="11"/>
      <c r="J192" s="12"/>
    </row>
    <row r="193" spans="2:10" ht="15.75" customHeight="1" x14ac:dyDescent="0.25">
      <c r="B193" s="11"/>
      <c r="E193" s="11"/>
      <c r="J193" s="12"/>
    </row>
    <row r="194" spans="2:10" ht="15.75" customHeight="1" x14ac:dyDescent="0.25">
      <c r="B194" s="11"/>
      <c r="E194" s="11"/>
      <c r="J194" s="12"/>
    </row>
    <row r="195" spans="2:10" ht="15.75" customHeight="1" x14ac:dyDescent="0.25">
      <c r="B195" s="11"/>
      <c r="E195" s="11"/>
      <c r="J195" s="12"/>
    </row>
    <row r="196" spans="2:10" ht="15.75" customHeight="1" x14ac:dyDescent="0.25">
      <c r="B196" s="11"/>
      <c r="E196" s="11"/>
      <c r="J196" s="12"/>
    </row>
    <row r="197" spans="2:10" ht="15.75" customHeight="1" x14ac:dyDescent="0.25">
      <c r="B197" s="11"/>
      <c r="E197" s="11"/>
      <c r="J197" s="12"/>
    </row>
    <row r="198" spans="2:10" ht="15.75" customHeight="1" x14ac:dyDescent="0.25">
      <c r="B198" s="11"/>
      <c r="E198" s="11"/>
      <c r="J198" s="12"/>
    </row>
    <row r="199" spans="2:10" ht="15.75" customHeight="1" x14ac:dyDescent="0.25">
      <c r="B199" s="11"/>
      <c r="E199" s="11"/>
      <c r="J199" s="12"/>
    </row>
    <row r="200" spans="2:10" ht="15.75" customHeight="1" x14ac:dyDescent="0.25">
      <c r="B200" s="11"/>
      <c r="E200" s="11"/>
      <c r="J200" s="12"/>
    </row>
    <row r="201" spans="2:10" ht="15.75" customHeight="1" x14ac:dyDescent="0.25">
      <c r="B201" s="11"/>
      <c r="E201" s="11"/>
      <c r="J201" s="12"/>
    </row>
    <row r="202" spans="2:10" ht="15.75" customHeight="1" x14ac:dyDescent="0.25">
      <c r="B202" s="11"/>
      <c r="E202" s="11"/>
      <c r="J202" s="12"/>
    </row>
    <row r="203" spans="2:10" ht="15.75" customHeight="1" x14ac:dyDescent="0.25">
      <c r="B203" s="11"/>
      <c r="E203" s="11"/>
      <c r="J203" s="12"/>
    </row>
    <row r="204" spans="2:10" ht="15.75" customHeight="1" x14ac:dyDescent="0.25">
      <c r="B204" s="11"/>
      <c r="E204" s="11"/>
      <c r="J204" s="12"/>
    </row>
    <row r="205" spans="2:10" ht="15.75" customHeight="1" x14ac:dyDescent="0.25">
      <c r="B205" s="11"/>
      <c r="E205" s="11"/>
      <c r="J205" s="12"/>
    </row>
    <row r="206" spans="2:10" ht="15.75" customHeight="1" x14ac:dyDescent="0.25">
      <c r="B206" s="11"/>
      <c r="E206" s="11"/>
      <c r="J206" s="12"/>
    </row>
    <row r="207" spans="2:10" ht="15.75" customHeight="1" x14ac:dyDescent="0.25">
      <c r="B207" s="11"/>
      <c r="E207" s="11"/>
      <c r="J207" s="12"/>
    </row>
    <row r="208" spans="2:10" ht="15.75" customHeight="1" x14ac:dyDescent="0.25">
      <c r="B208" s="11"/>
      <c r="E208" s="11"/>
      <c r="J208" s="12"/>
    </row>
    <row r="209" spans="2:10" ht="15.75" customHeight="1" x14ac:dyDescent="0.25">
      <c r="B209" s="11"/>
      <c r="E209" s="11"/>
      <c r="J209" s="12"/>
    </row>
    <row r="210" spans="2:10" ht="15.75" customHeight="1" x14ac:dyDescent="0.25">
      <c r="B210" s="11"/>
      <c r="E210" s="11"/>
      <c r="J210" s="12"/>
    </row>
    <row r="211" spans="2:10" ht="15.75" customHeight="1" x14ac:dyDescent="0.25">
      <c r="B211" s="11"/>
      <c r="E211" s="11"/>
      <c r="J211" s="12"/>
    </row>
    <row r="212" spans="2:10" ht="15.75" customHeight="1" x14ac:dyDescent="0.25">
      <c r="B212" s="11"/>
      <c r="E212" s="11"/>
      <c r="J212" s="12"/>
    </row>
    <row r="213" spans="2:10" ht="15.75" customHeight="1" x14ac:dyDescent="0.25">
      <c r="B213" s="11"/>
      <c r="E213" s="11"/>
      <c r="J213" s="12"/>
    </row>
    <row r="214" spans="2:10" ht="15.75" customHeight="1" x14ac:dyDescent="0.25">
      <c r="B214" s="11"/>
      <c r="E214" s="11"/>
      <c r="J214" s="12"/>
    </row>
    <row r="215" spans="2:10" ht="15.75" customHeight="1" x14ac:dyDescent="0.25">
      <c r="B215" s="11"/>
      <c r="E215" s="11"/>
      <c r="J215" s="12"/>
    </row>
    <row r="216" spans="2:10" ht="15.75" customHeight="1" x14ac:dyDescent="0.25">
      <c r="B216" s="11"/>
      <c r="E216" s="11"/>
      <c r="J216" s="12"/>
    </row>
    <row r="217" spans="2:10" ht="15.75" customHeight="1" x14ac:dyDescent="0.25">
      <c r="B217" s="11"/>
      <c r="E217" s="11"/>
      <c r="J217" s="12"/>
    </row>
    <row r="218" spans="2:10" ht="15.75" customHeight="1" x14ac:dyDescent="0.25">
      <c r="B218" s="11"/>
      <c r="E218" s="11"/>
      <c r="J218" s="12"/>
    </row>
    <row r="219" spans="2:10" ht="15.75" customHeight="1" x14ac:dyDescent="0.25">
      <c r="B219" s="11"/>
      <c r="E219" s="11"/>
      <c r="J219" s="12"/>
    </row>
    <row r="220" spans="2:10" ht="15.75" customHeight="1" x14ac:dyDescent="0.25">
      <c r="B220" s="11"/>
      <c r="E220" s="11"/>
      <c r="J220" s="12"/>
    </row>
    <row r="221" spans="2:10" ht="15.75" customHeight="1" x14ac:dyDescent="0.25">
      <c r="B221" s="11"/>
      <c r="E221" s="11"/>
      <c r="J221" s="12"/>
    </row>
    <row r="222" spans="2:10" ht="15.75" customHeight="1" x14ac:dyDescent="0.25">
      <c r="B222" s="11"/>
      <c r="E222" s="11"/>
      <c r="J222" s="12"/>
    </row>
    <row r="223" spans="2:10" ht="15.75" customHeight="1" x14ac:dyDescent="0.25">
      <c r="B223" s="11"/>
      <c r="E223" s="11"/>
      <c r="J223" s="12"/>
    </row>
    <row r="224" spans="2:10" ht="15.75" customHeight="1" x14ac:dyDescent="0.25">
      <c r="B224" s="11"/>
      <c r="E224" s="11"/>
      <c r="J224" s="12"/>
    </row>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mergeCells count="8">
    <mergeCell ref="J8:J11"/>
    <mergeCell ref="J14:J17"/>
    <mergeCell ref="A18:A19"/>
    <mergeCell ref="A20:A21"/>
    <mergeCell ref="A2:A4"/>
    <mergeCell ref="A6:A7"/>
    <mergeCell ref="A8:A13"/>
    <mergeCell ref="A14:A17"/>
  </mergeCells>
  <phoneticPr fontId="12" type="noConversion"/>
  <conditionalFormatting sqref="I2:I35">
    <cfRule type="cellIs" dxfId="6" priority="1" operator="equal">
      <formula>"Pass"</formula>
    </cfRule>
    <cfRule type="cellIs" dxfId="5" priority="2" operator="equal">
      <formula>"Fail"</formula>
    </cfRule>
    <cfRule type="containsText" dxfId="4" priority="3" operator="containsText" text="Blocked">
      <formula>NOT(ISERROR(SEARCH(("Blocked"),(I2))))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heetViews>
  <sheetFormatPr defaultColWidth="12.6640625" defaultRowHeight="15" customHeight="1" x14ac:dyDescent="0.25"/>
  <cols>
    <col min="1" max="1" width="20.44140625" customWidth="1"/>
    <col min="2" max="2" width="20.88671875" customWidth="1"/>
    <col min="3" max="3" width="19.6640625" customWidth="1"/>
    <col min="4" max="4" width="22.77734375" customWidth="1"/>
    <col min="5" max="5" width="23.88671875" customWidth="1"/>
    <col min="6" max="6" width="20.33203125" customWidth="1"/>
    <col min="7" max="7" width="23.77734375" customWidth="1"/>
    <col min="8" max="8" width="20.33203125" customWidth="1"/>
    <col min="9" max="9" width="22.109375" customWidth="1"/>
  </cols>
  <sheetData>
    <row r="1" spans="1:9" ht="67.5" customHeight="1" x14ac:dyDescent="0.3">
      <c r="A1" s="13" t="s">
        <v>9</v>
      </c>
      <c r="B1" s="13" t="s">
        <v>10</v>
      </c>
      <c r="C1" s="13" t="s">
        <v>11</v>
      </c>
      <c r="D1" s="13" t="s">
        <v>12</v>
      </c>
      <c r="E1" s="13" t="s">
        <v>13</v>
      </c>
      <c r="F1" s="13" t="s">
        <v>14</v>
      </c>
      <c r="G1" s="13" t="s">
        <v>15</v>
      </c>
      <c r="H1" s="13" t="s">
        <v>16</v>
      </c>
      <c r="I1" s="13" t="s">
        <v>13</v>
      </c>
    </row>
    <row r="2" spans="1:9" ht="75.75" customHeight="1" x14ac:dyDescent="0.55000000000000004">
      <c r="A2" s="14">
        <f>COUNTIF(TestCases!B2:B64,"*")</f>
        <v>22</v>
      </c>
      <c r="B2" s="14">
        <f>COUNTIF(TestCases!I2:O64,"Pass")</f>
        <v>18</v>
      </c>
      <c r="C2" s="14">
        <f>COUNTIF(TestCases!I2:I64,"Fail")</f>
        <v>4</v>
      </c>
      <c r="D2" s="14">
        <f>COUNTIF(TestCases!I2:I64,"Blocked")</f>
        <v>0</v>
      </c>
      <c r="E2" s="14">
        <f>B2+C2</f>
        <v>22</v>
      </c>
      <c r="F2" s="15">
        <f>(D2/A2)*100</f>
        <v>0</v>
      </c>
      <c r="G2" s="16">
        <f>(C2/A2)*100</f>
        <v>18.181818181818183</v>
      </c>
      <c r="H2" s="15">
        <f>(B2/A2)*100</f>
        <v>81.818181818181827</v>
      </c>
      <c r="I2" s="16">
        <f>((B2+C2)/A2)*100</f>
        <v>100</v>
      </c>
    </row>
    <row r="3" spans="1:9" ht="15.75" customHeight="1" x14ac:dyDescent="0.25"/>
    <row r="4" spans="1:9" ht="15.75" customHeight="1" x14ac:dyDescent="0.25"/>
    <row r="5" spans="1:9" ht="15.75" customHeight="1" x14ac:dyDescent="0.25"/>
    <row r="6" spans="1:9" ht="15.75" customHeight="1" x14ac:dyDescent="0.25"/>
    <row r="7" spans="1:9" ht="15.75" customHeight="1" x14ac:dyDescent="0.25"/>
    <row r="8" spans="1:9" ht="15.75" customHeight="1" x14ac:dyDescent="0.25"/>
    <row r="9" spans="1:9" ht="15.75" customHeight="1" x14ac:dyDescent="0.25"/>
    <row r="10" spans="1:9" ht="15.75" customHeight="1" x14ac:dyDescent="0.25"/>
    <row r="11" spans="1:9" ht="15.75" customHeight="1" x14ac:dyDescent="0.25"/>
    <row r="12" spans="1:9" ht="15.75" customHeight="1" x14ac:dyDescent="0.25"/>
    <row r="13" spans="1:9" ht="15.75" customHeight="1" x14ac:dyDescent="0.25"/>
    <row r="14" spans="1:9" ht="15.75" customHeight="1" x14ac:dyDescent="0.25"/>
    <row r="15" spans="1:9" ht="15.75" customHeight="1" x14ac:dyDescent="0.25"/>
    <row r="16" spans="1:9"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I2">
    <cfRule type="cellIs" dxfId="3" priority="1" operator="between">
      <formula>0</formula>
      <formula>25</formula>
    </cfRule>
    <cfRule type="cellIs" dxfId="2" priority="2" operator="between">
      <formula>26</formula>
      <formula>50</formula>
    </cfRule>
    <cfRule type="cellIs" dxfId="1" priority="3" operator="between">
      <formula>51</formula>
      <formula>75</formula>
    </cfRule>
    <cfRule type="cellIs" dxfId="0" priority="4" operator="between">
      <formula>76</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Mădălina Ilie</cp:lastModifiedBy>
  <dcterms:created xsi:type="dcterms:W3CDTF">2025-05-18T19:53:06Z</dcterms:created>
  <dcterms:modified xsi:type="dcterms:W3CDTF">2025-05-25T21:22:04Z</dcterms:modified>
</cp:coreProperties>
</file>